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/>
  <xr:revisionPtr revIDLastSave="0" documentId="8_{84E2D055-F90F-4BD1-9152-1A0709AA751D}" xr6:coauthVersionLast="47" xr6:coauthVersionMax="47" xr10:uidLastSave="{00000000-0000-0000-0000-000000000000}"/>
  <bookViews>
    <workbookView xWindow="24330" yWindow="7245" windowWidth="21600" windowHeight="11295" activeTab="2" xr2:uid="{00000000-000D-0000-FFFF-FFFF00000000}"/>
  </bookViews>
  <sheets>
    <sheet name="Resumo" sheetId="1" r:id="rId1"/>
    <sheet name="Renda mensal" sheetId="3" r:id="rId2"/>
    <sheet name="Despesas mensais" sheetId="4" r:id="rId3"/>
    <sheet name="Objetivos" sheetId="5" r:id="rId4"/>
  </sheets>
  <definedNames>
    <definedName name="DespesasMensaisTotais" localSheetId="3">SUM(Despesa[Valor])</definedName>
    <definedName name="DespesasMensaisTotais">SUM(Despesa[Valor])</definedName>
    <definedName name="_xlnm.Print_Titles" localSheetId="2">'Despesas mensais'!$3:$3</definedName>
    <definedName name="_xlnm.Print_Titles" localSheetId="3">Objetivos!$7:$7</definedName>
    <definedName name="_xlnm.Print_Titles" localSheetId="1">'Renda mensal'!$3:$3</definedName>
    <definedName name="RendaMensalTotal" localSheetId="3">SUM(Renda[Valor])</definedName>
    <definedName name="RendaMensalTotal">SUM(Renda[Valor])</definedName>
    <definedName name="TítuloColuna1" localSheetId="3">Resumo[[#Headers],[Renda mensal total]]</definedName>
    <definedName name="TítuloColuna1">Resumo[[#Headers],[Renda mensal total]]</definedName>
    <definedName name="TítuloColuna2" localSheetId="3">Renda[[#Headers],[Item]]</definedName>
    <definedName name="TítuloColuna2">Renda[[#Headers],[Item]]</definedName>
    <definedName name="TítuloColuna3" localSheetId="3">Despesa[[#Headers],[Item]]</definedName>
    <definedName name="TítuloColuna3">Despesa[[#Headers],[Item]]</definedName>
    <definedName name="TítuloOrçamento">'Resumo'!$B$1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4" l="1"/>
  <c r="B1" i="3"/>
  <c r="L7" i="4" l="1"/>
  <c r="B3" i="1"/>
  <c r="D6" i="1"/>
  <c r="E3" i="1"/>
  <c r="C16" i="4"/>
  <c r="C6" i="1"/>
</calcChain>
</file>

<file path=xl/sharedStrings.xml><?xml version="1.0" encoding="utf-8"?>
<sst xmlns="http://schemas.openxmlformats.org/spreadsheetml/2006/main" count="87" uniqueCount="70">
  <si>
    <t>ORÇAMENTO MENSAL SIMPLES</t>
  </si>
  <si>
    <t>PORCENTAGEM DA RENDA GASTA</t>
  </si>
  <si>
    <t>RESUMO</t>
  </si>
  <si>
    <t>Renda mensal total</t>
  </si>
  <si>
    <t>Despesas mensais totais</t>
  </si>
  <si>
    <t>Saldo</t>
  </si>
  <si>
    <t>RENDA MENSAL</t>
  </si>
  <si>
    <t>Item</t>
  </si>
  <si>
    <t>Valor</t>
  </si>
  <si>
    <t>SALARIO</t>
  </si>
  <si>
    <t>Outros</t>
  </si>
  <si>
    <t>Orçamento PAGO</t>
  </si>
  <si>
    <t>DESPESAS MENSAIS</t>
  </si>
  <si>
    <t>Pago</t>
  </si>
  <si>
    <t>pago completo ou metade?</t>
  </si>
  <si>
    <t>Internet</t>
  </si>
  <si>
    <t>Gasolina</t>
  </si>
  <si>
    <t>Credito celular</t>
  </si>
  <si>
    <t xml:space="preserve">Assinaturas (spotify e ifood) </t>
  </si>
  <si>
    <t>Total</t>
  </si>
  <si>
    <t xml:space="preserve">Alimentação </t>
  </si>
  <si>
    <t xml:space="preserve">academia </t>
  </si>
  <si>
    <t>Parcela da moto (11/36)</t>
  </si>
  <si>
    <t>DESPESAS MENSAIS Futuras APENAS NECESSIDADES</t>
  </si>
  <si>
    <t>Por que necessidade?</t>
  </si>
  <si>
    <t>Luvas moto/ bota impermeavel</t>
  </si>
  <si>
    <t>Segurança + impedir doenças</t>
  </si>
  <si>
    <t xml:space="preserve">Futuras comodidades e desejos </t>
  </si>
  <si>
    <t>Por que quer</t>
  </si>
  <si>
    <t xml:space="preserve">bau moto 60L </t>
  </si>
  <si>
    <t>Levar capacetes e coisas de viagem</t>
  </si>
  <si>
    <t xml:space="preserve">Tenis Melhor </t>
  </si>
  <si>
    <t>Tenis</t>
  </si>
  <si>
    <t xml:space="preserve">Celular novo </t>
  </si>
  <si>
    <t>2 anos com o mesmo celular e foda</t>
  </si>
  <si>
    <t>Relogio Redmi</t>
  </si>
  <si>
    <t>relogio foda faz tudo</t>
  </si>
  <si>
    <t>Alforge Moto 80L</t>
  </si>
  <si>
    <t>caso o bau seja muito caro</t>
  </si>
  <si>
    <t>Cabelo</t>
  </si>
  <si>
    <t>Minha mãe briga comigo se não corta</t>
  </si>
  <si>
    <t>Casinha objetivos (12.000) atual(2,390)</t>
  </si>
  <si>
    <t>Objetivos grandes requerem grandes esforços</t>
  </si>
  <si>
    <t>Parcela Moto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</si>
  <si>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</si>
  <si>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</si>
  <si>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</si>
  <si>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</si>
  <si>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</si>
  <si>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</si>
  <si>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</si>
  <si>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</si>
  <si>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</si>
  <si>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vai que um dia se pagar ela consegue comprar outro veiculo ne haha</t>
  </si>
  <si>
    <t>Faculdade(3,300) atual(0)</t>
  </si>
  <si>
    <t>Emergencia(3000) atual(0)</t>
  </si>
  <si>
    <t>Ipva Moto(420)</t>
  </si>
  <si>
    <t>Pra moto n ser presa</t>
  </si>
  <si>
    <t xml:space="preserve">Faculdade </t>
  </si>
  <si>
    <t xml:space="preserve"> Kit lavagem moto vonixx</t>
  </si>
  <si>
    <t>limpa a moto foda</t>
  </si>
  <si>
    <t xml:space="preserve">central multimidia moto 5 polegadas </t>
  </si>
  <si>
    <t>foda</t>
  </si>
  <si>
    <t>alarme moto antifurto</t>
  </si>
  <si>
    <t>trava cadeado freio disco</t>
  </si>
  <si>
    <t xml:space="preserve">Segurança </t>
  </si>
  <si>
    <t>Rastreador antifurto moto</t>
  </si>
  <si>
    <t>Parcela da moto (12/36)</t>
  </si>
  <si>
    <t>Pasta de amendoim</t>
  </si>
  <si>
    <t>oculos + coisa de ver direção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</si>
</sst>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&quot;R$&quot;\ #,##0.00"/>
    <numFmt numFmtId="167" formatCode="&quot;R$&quot;\ #,##0"/>
  </numFmts>
  <fonts count="33" x14ac:knownFonts="1">
    <font>
      <sz val="11"/>
      <color theme="3"/>
      <name val="Century Gothic"/>
      <family val="1"/>
      <scheme val="minor"/>
    </font>
    <font>
      <sz val="11"/>
      <color theme="1"/>
      <name val="Century Gothic"/>
      <family val="2"/>
      <scheme val="minor"/>
    </font>
    <font>
      <sz val="25"/>
      <color theme="3"/>
      <name val="Century Gothic"/>
      <family val="2"/>
      <scheme val="minor"/>
    </font>
    <font>
      <sz val="16"/>
      <color theme="3"/>
      <name val="Century Gothic"/>
      <family val="2"/>
      <scheme val="minor"/>
    </font>
    <font>
      <sz val="15.75"/>
      <color theme="3"/>
      <name val="Century Gothic"/>
      <family val="2"/>
      <scheme val="minor"/>
    </font>
    <font>
      <sz val="14"/>
      <color theme="3"/>
      <name val="Century Gothic"/>
      <family val="2"/>
      <scheme val="minor"/>
    </font>
    <font>
      <sz val="11"/>
      <color theme="3"/>
      <name val="Century Gothic"/>
      <family val="1"/>
      <scheme val="minor"/>
    </font>
    <font>
      <i/>
      <sz val="11"/>
      <color theme="4" tint="-0.499984740745262"/>
      <name val="Georgia"/>
      <family val="1"/>
      <scheme val="major"/>
    </font>
    <font>
      <sz val="22"/>
      <color theme="4" tint="-0.499984740745262"/>
      <name val="Century Gothic"/>
      <family val="2"/>
      <scheme val="minor"/>
    </font>
    <font>
      <sz val="11"/>
      <color theme="0" tint="-0.34998626667073579"/>
      <name val="Century Gothic"/>
      <family val="1"/>
      <scheme val="minor"/>
    </font>
    <font>
      <i/>
      <sz val="11"/>
      <color theme="1"/>
      <name val="Georgia"/>
      <family val="1"/>
      <scheme val="maj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1"/>
      <name val="Georgia"/>
      <family val="1"/>
      <scheme val="major"/>
    </font>
    <font>
      <sz val="8"/>
      <name val="Century Gothic"/>
      <family val="1"/>
      <scheme val="minor"/>
    </font>
    <font>
      <sz val="9"/>
      <color theme="3"/>
      <name val="Century Gothic"/>
      <family val="1"/>
      <scheme val="minor"/>
    </font>
    <font>
      <b/>
      <sz val="11"/>
      <color theme="3"/>
      <name val="Century Gothic"/>
      <family val="1"/>
      <scheme val="minor"/>
    </font>
    <font>
      <u/>
      <sz val="11"/>
      <color theme="3"/>
      <name val="Century Gothic"/>
      <family val="1"/>
      <scheme val="minor"/>
    </font>
    <font>
      <i/>
      <u/>
      <sz val="11"/>
      <color theme="1"/>
      <name val="Georgia"/>
      <family val="1"/>
      <scheme val="major"/>
    </font>
    <font>
      <sz val="16"/>
      <color theme="3"/>
      <name val="Century Gothic"/>
      <family val="1"/>
      <scheme val="minor"/>
    </font>
    <font>
      <u/>
      <sz val="16"/>
      <color theme="3"/>
      <name val="Century Gothic"/>
      <family val="1"/>
      <scheme val="minor"/>
    </font>
    <font>
      <b/>
      <sz val="16"/>
      <color theme="3"/>
      <name val="Century Gothic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2" tint="-9.9948118533890809E-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9" fontId="8" fillId="0" borderId="0" applyFill="0" applyBorder="0" applyAlignment="0" applyProtection="0"/>
    <xf numFmtId="0" fontId="2" fillId="0" borderId="0" applyNumberFormat="0" applyFill="0" applyBorder="0" applyProtection="0">
      <alignment horizontal="left" indent="1"/>
    </xf>
    <xf numFmtId="0" fontId="5" fillId="0" borderId="0" applyNumberFormat="0" applyFill="0" applyProtection="0"/>
    <xf numFmtId="0" fontId="7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9" fillId="2" borderId="3" applyNumberFormat="0" applyAlignment="0">
      <alignment vertical="center"/>
    </xf>
    <xf numFmtId="0" fontId="6" fillId="0" borderId="0">
      <alignment vertical="center" wrapText="1"/>
    </xf>
    <xf numFmtId="166" fontId="6" fillId="0" borderId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9" applyNumberFormat="0" applyAlignment="0" applyProtection="0"/>
    <xf numFmtId="0" fontId="16" fillId="7" borderId="10" applyNumberFormat="0" applyAlignment="0" applyProtection="0"/>
    <xf numFmtId="0" fontId="17" fillId="7" borderId="9" applyNumberFormat="0" applyAlignment="0" applyProtection="0"/>
    <xf numFmtId="0" fontId="18" fillId="0" borderId="11" applyNumberFormat="0" applyFill="0" applyAlignment="0" applyProtection="0"/>
    <xf numFmtId="0" fontId="19" fillId="8" borderId="12" applyNumberFormat="0" applyAlignment="0" applyProtection="0"/>
    <xf numFmtId="0" fontId="20" fillId="0" borderId="0" applyNumberFormat="0" applyFill="0" applyBorder="0" applyAlignment="0" applyProtection="0"/>
    <xf numFmtId="0" fontId="6" fillId="9" borderId="13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6">
    <xf numFmtId="0" fontId="0" fillId="0" borderId="0" xfId="0">
      <alignment vertical="center"/>
    </xf>
    <xf numFmtId="0" fontId="0" fillId="0" borderId="0" xfId="0" applyAlignment="1"/>
    <xf numFmtId="0" fontId="5" fillId="0" borderId="0" xfId="3"/>
    <xf numFmtId="0" fontId="6" fillId="0" borderId="0" xfId="7">
      <alignment vertical="center" wrapText="1"/>
    </xf>
    <xf numFmtId="9" fontId="8" fillId="0" borderId="4" xfId="1" applyBorder="1" applyAlignment="1">
      <alignment horizontal="right" vertical="center" indent="1"/>
    </xf>
    <xf numFmtId="0" fontId="7" fillId="0" borderId="8" xfId="4" applyBorder="1" applyAlignment="1">
      <alignment horizontal="left" vertical="center"/>
    </xf>
    <xf numFmtId="0" fontId="2" fillId="0" borderId="0" xfId="2">
      <alignment horizontal="left" indent="1"/>
    </xf>
    <xf numFmtId="0" fontId="10" fillId="0" borderId="1" xfId="4" applyFont="1" applyAlignment="1">
      <alignment vertical="center"/>
    </xf>
    <xf numFmtId="0" fontId="10" fillId="0" borderId="1" xfId="4" applyFont="1" applyAlignment="1">
      <alignment horizontal="right" vertical="center" indent="2"/>
    </xf>
    <xf numFmtId="167" fontId="3" fillId="0" borderId="2" xfId="5" applyNumberFormat="1" applyBorder="1" applyAlignment="1">
      <alignment horizontal="left" vertical="top"/>
    </xf>
    <xf numFmtId="167" fontId="4" fillId="0" borderId="0" xfId="5" applyNumberFormat="1" applyFont="1" applyAlignment="1">
      <alignment vertical="top"/>
    </xf>
    <xf numFmtId="167" fontId="3" fillId="0" borderId="0" xfId="5" applyNumberFormat="1" applyAlignment="1">
      <alignment vertical="top"/>
    </xf>
    <xf numFmtId="166" fontId="6" fillId="0" borderId="0" xfId="8">
      <alignment vertical="center"/>
    </xf>
    <xf numFmtId="0" fontId="24" fillId="0" borderId="0" xfId="0" applyFont="1">
      <alignment vertical="center"/>
    </xf>
    <xf numFmtId="0" fontId="24" fillId="34" borderId="0" xfId="0" applyFont="1" applyFill="1">
      <alignment vertical="center"/>
    </xf>
    <xf numFmtId="0" fontId="24" fillId="35" borderId="0" xfId="0" applyFont="1" applyFill="1">
      <alignment vertical="center"/>
    </xf>
    <xf numFmtId="0" fontId="0" fillId="0" borderId="0" xfId="7" applyFont="1">
      <alignment vertical="center" wrapText="1"/>
    </xf>
    <xf numFmtId="166" fontId="0" fillId="0" borderId="0" xfId="0" applyNumberFormat="1">
      <alignment vertical="center"/>
    </xf>
    <xf numFmtId="0" fontId="27" fillId="0" borderId="0" xfId="0" applyFont="1" applyAlignment="1">
      <alignment horizontal="center" vertical="center"/>
    </xf>
    <xf numFmtId="0" fontId="29" fillId="0" borderId="1" xfId="4" applyFont="1" applyAlignment="1">
      <alignment horizontal="right" vertical="center" indent="2"/>
    </xf>
    <xf numFmtId="166" fontId="0" fillId="0" borderId="0" xfId="8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0" fillId="0" borderId="0" xfId="0" applyAlignment="1">
      <alignment horizontal="center" vertical="center"/>
    </xf>
    <xf numFmtId="0" fontId="31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0" fillId="34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34" borderId="0" xfId="7" applyFont="1" applyFill="1">
      <alignment vertical="center" wrapText="1"/>
    </xf>
    <xf numFmtId="166" fontId="6" fillId="34" borderId="0" xfId="8" applyFill="1">
      <alignment vertical="center"/>
    </xf>
    <xf numFmtId="0" fontId="0" fillId="34" borderId="0" xfId="0" applyFill="1">
      <alignment vertical="center"/>
    </xf>
    <xf numFmtId="0" fontId="6" fillId="34" borderId="0" xfId="7" applyFill="1">
      <alignment vertical="center" wrapText="1"/>
    </xf>
    <xf numFmtId="0" fontId="0" fillId="2" borderId="5" xfId="6" applyFont="1" applyBorder="1" applyAlignment="1">
      <alignment vertical="center"/>
    </xf>
    <xf numFmtId="0" fontId="0" fillId="2" borderId="6" xfId="6" applyFont="1" applyBorder="1" applyAlignment="1">
      <alignment vertical="center"/>
    </xf>
    <xf numFmtId="0" fontId="0" fillId="2" borderId="7" xfId="6" applyFont="1" applyBorder="1" applyAlignment="1">
      <alignment vertical="center"/>
    </xf>
    <xf numFmtId="0" fontId="0" fillId="3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8" fillId="36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6" fillId="0" borderId="0" xfId="7" applyFill="1">
      <alignment vertical="center" wrapText="1"/>
    </xf>
    <xf numFmtId="166" fontId="6" fillId="0" borderId="0" xfId="8" applyFill="1">
      <alignment vertical="center"/>
    </xf>
    <xf numFmtId="0" fontId="0" fillId="0" borderId="0" xfId="7" applyFont="1" applyFill="1">
      <alignment vertical="center" wrapText="1"/>
    </xf>
  </cellXfs>
  <cellStyles count="50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BarraDeRendaGasta" xfId="6" xr:uid="{00000000-0005-0000-0000-000003000000}"/>
    <cellStyle name="Calculation" xfId="19" builtinId="22" customBuiltin="1"/>
    <cellStyle name="Check Cell" xfId="21" builtinId="23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Explanatory Text" xfId="24" builtinId="53" customBuiltin="1"/>
    <cellStyle name="Good" xfId="14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 customBuiltin="1"/>
    <cellStyle name="Note" xfId="23" builtinId="10" customBuiltin="1"/>
    <cellStyle name="Output" xfId="18" builtinId="21" customBuiltin="1"/>
    <cellStyle name="Percent" xfId="1" builtinId="5" customBuiltin="1"/>
    <cellStyle name="Tabela Itens" xfId="7" xr:uid="{00000000-0005-0000-0000-000007000000}"/>
    <cellStyle name="Tabela Valores" xfId="8" xr:uid="{00000000-0005-0000-0000-000006000000}"/>
    <cellStyle name="Title" xfId="2" builtinId="15" customBuiltin="1"/>
    <cellStyle name="Total" xfId="25" builtinId="25" customBuiltin="1"/>
    <cellStyle name="Warning Text" xfId="22" builtinId="11" customBuiltin="1"/>
  </cellStyles>
  <dxfs count="20"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major"/>
      </font>
    </dxf>
    <dxf>
      <numFmt numFmtId="167" formatCode="&quot;R$&quot;\ #,##0"/>
      <alignment horizontal="left" vertical="top" textRotation="0" wrapText="0" indent="0" justifyLastLine="0" shrinkToFit="0" readingOrder="0"/>
      <border diagonalUp="0" diagonalDown="0">
        <left/>
        <right/>
        <top style="medium">
          <color theme="2" tint="-9.9948118533890809E-2"/>
        </top>
        <bottom/>
      </border>
    </dxf>
    <dxf>
      <numFmt numFmtId="167" formatCode="&quot;R$&quot;\ #,##0"/>
      <alignment horizontal="left" vertical="top" textRotation="0" wrapText="0" indent="0" justifyLastLine="0" shrinkToFit="0" readingOrder="0"/>
      <border diagonalUp="0" diagonalDown="0">
        <left/>
        <right/>
        <top style="medium">
          <color theme="2" tint="-9.9948118533890809E-2"/>
        </top>
        <bottom/>
      </border>
    </dxf>
    <dxf>
      <numFmt numFmtId="167" formatCode="&quot;R$&quot;\ #,##0"/>
      <alignment horizontal="left" vertical="top" textRotation="0" wrapText="0" indent="0" justifyLastLine="0" shrinkToFit="0" readingOrder="0"/>
      <border diagonalUp="0" diagonalDown="0">
        <left/>
        <right/>
        <top style="medium">
          <color theme="2" tint="-9.9948118533890809E-2"/>
        </top>
        <bottom/>
      </border>
    </dxf>
    <dxf>
      <border outline="0">
        <top style="medium">
          <color theme="2" tint="-9.9948118533890809E-2"/>
        </top>
      </border>
    </dxf>
    <dxf>
      <border outline="0">
        <top style="medium">
          <color theme="2" tint="-9.9948118533890809E-2"/>
        </top>
      </border>
    </dxf>
    <dxf>
      <numFmt numFmtId="167" formatCode="&quot;R$&quot;\ #,##0"/>
      <alignment horizontal="left" vertical="top" textRotation="0" wrapText="0" indent="0" justifyLastLine="0" shrinkToFit="0" readingOrder="0"/>
    </dxf>
    <dxf>
      <border outline="0">
        <bottom style="medium">
          <color theme="2" tint="-9.9948118533890809E-2"/>
        </bottom>
      </border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maj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maj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major"/>
      </font>
    </dxf>
    <dxf>
      <font>
        <sz val="16"/>
      </font>
    </dxf>
    <dxf>
      <font>
        <sz val="16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major"/>
      </font>
    </dxf>
    <dxf>
      <font>
        <b val="0"/>
        <i/>
        <color auto="1"/>
      </font>
      <border>
        <top style="medium">
          <color theme="2" tint="-9.9948118533890809E-2"/>
        </top>
        <bottom style="medium">
          <color theme="2" tint="-9.9948118533890809E-2"/>
        </bottom>
      </border>
    </dxf>
    <dxf>
      <font>
        <color theme="3"/>
      </font>
    </dxf>
  </dxfs>
  <tableStyles count="1" defaultPivotStyle="PivotStyleLight16">
    <tableStyle name="Orçamento Mensal Simples" pivot="0" count="2" xr9:uid="{00000000-0011-0000-FFFF-FFFF00000000}">
      <tableStyleElement type="wholeTable" dxfId="19"/>
      <tableStyleElement type="header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DadosDoGráfico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3E5-43C7-B418-2B2196665C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3E5-43C7-B418-2B2196665C70}"/>
              </c:ext>
            </c:extLst>
          </c:dPt>
          <c:dLbls>
            <c:delete val="1"/>
          </c:dLbls>
          <c:cat>
            <c:strLit>
              <c:ptCount val="2"/>
              <c:pt idx="0">
                <c:v>Renda</c:v>
              </c:pt>
              <c:pt idx="1">
                <c:v>Despesas</c:v>
              </c:pt>
            </c:strLit>
          </c:cat>
          <c:val>
            <c:numRef>
              <c:f>'Resumo'!$B$6:$C$6</c:f>
              <c:numCache>
                <c:formatCode>"R$"\ #,##0</c:formatCode>
                <c:ptCount val="2"/>
                <c:pt idx="0">
                  <c:v>3100</c:v>
                </c:pt>
                <c:pt idx="1">
                  <c:v>2895.6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E5-43C7-B418-2B2196665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06999952"/>
        <c:axId val="406999560"/>
      </c:barChart>
      <c:catAx>
        <c:axId val="406999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>
                <a:latin typeface="+mn-lt"/>
              </a:defRPr>
            </a:pPr>
            <a:endParaRPr lang="pt-BR"/>
          </a:p>
        </c:txPr>
        <c:crossAx val="406999560"/>
        <c:crosses val="autoZero"/>
        <c:auto val="1"/>
        <c:lblAlgn val="ctr"/>
        <c:lblOffset val="100"/>
        <c:noMultiLvlLbl val="0"/>
      </c:catAx>
      <c:valAx>
        <c:axId val="406999560"/>
        <c:scaling>
          <c:orientation val="minMax"/>
          <c:min val="0"/>
        </c:scaling>
        <c:delete val="0"/>
        <c:axPos val="l"/>
        <c:minorGridlines>
          <c:spPr>
            <a:ln w="3175">
              <a:solidFill>
                <a:schemeClr val="bg1">
                  <a:lumMod val="75000"/>
                  <a:alpha val="25000"/>
                </a:schemeClr>
              </a:solidFill>
            </a:ln>
          </c:spPr>
        </c:minorGridlines>
        <c:numFmt formatCode="&quot;R$&quot;\ #,##0" sourceLinked="0"/>
        <c:majorTickMark val="none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 sz="1100"/>
            </a:pPr>
            <a:endParaRPr lang="pt-BR"/>
          </a:p>
        </c:txPr>
        <c:crossAx val="406999952"/>
        <c:crosses val="autoZero"/>
        <c:crossBetween val="between"/>
        <c:minorUnit val="500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2"/>
          </a:solidFill>
          <a:latin typeface="+mj-lt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6</xdr:row>
      <xdr:rowOff>328613</xdr:rowOff>
    </xdr:from>
    <xdr:to>
      <xdr:col>4</xdr:col>
      <xdr:colOff>457200</xdr:colOff>
      <xdr:row>6</xdr:row>
      <xdr:rowOff>3705225</xdr:rowOff>
    </xdr:to>
    <xdr:graphicFrame macro="">
      <xdr:nvGraphicFramePr>
        <xdr:cNvPr id="2" name="RendaEDespesas" descr="Gráfico de colunas comparando a Renda Mensal Total com as Despesas Mensais Totai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Resumo" displayName="Resumo" ref="B5:D6" totalsRowShown="0" headerRowDxfId="8" dataDxfId="6" headerRowBorderDxfId="7" tableBorderDxfId="5" totalsRowBorderDxfId="4">
  <autoFilter ref="B5:D6" xr:uid="{00000000-0009-0000-0100-000007000000}"/>
  <tableColumns count="3">
    <tableColumn id="1" xr3:uid="{00000000-0010-0000-0000-000001000000}" name="Renda mensal total" dataDxfId="3">
      <calculatedColumnFormula>RendaMensalTotal</calculatedColumnFormula>
    </tableColumn>
    <tableColumn id="2" xr3:uid="{00000000-0010-0000-0000-000002000000}" name="Despesas mensais totais" dataDxfId="2">
      <calculatedColumnFormula>DespesasMensaisTotais</calculatedColumnFormula>
    </tableColumn>
    <tableColumn id="3" xr3:uid="{00000000-0010-0000-0000-000003000000}" name="Saldo" dataDxfId="1">
      <calculatedColumnFormula>RendaMensalTotal-DespesasMensaisTotais</calculatedColumnFormula>
    </tableColumn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Um resumo do total da renda mensal, das despesas e do saldo pendente. Esta tabela é automaticamente atualizada a partir das entradas nas planilhas de Renda Mensal e Despesas Mensai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enda" displayName="Renda" ref="B3:C6" headerRowDxfId="0">
  <autoFilter ref="B3:C6" xr:uid="{00000000-0009-0000-0100-000001000000}"/>
  <tableColumns count="2">
    <tableColumn id="1" xr3:uid="{00000000-0010-0000-0100-000001000000}" name="Item" totalsRowLabel="Total" dataCellStyle="Tabela Itens"/>
    <tableColumn id="2" xr3:uid="{00000000-0010-0000-0100-000002000000}" name="Valor" totalsRowFunction="sum" dataCellStyle="Tabela Valores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Lista de itens e valores de rendas mensai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espesa" displayName="Despesa" ref="B3:E15" headerRowDxfId="17">
  <autoFilter ref="B3:E15" xr:uid="{00000000-0009-0000-0100-000002000000}"/>
  <tableColumns count="4">
    <tableColumn id="1" xr3:uid="{00000000-0010-0000-0200-000001000000}" name="Item" totalsRowLabel="Total" dataCellStyle="Tabela Itens"/>
    <tableColumn id="2" xr3:uid="{00000000-0010-0000-0200-000002000000}" name="Valor" totalsRowFunction="sum" dataCellStyle="Tabela Valores"/>
    <tableColumn id="3" xr3:uid="{62F9B8B5-9048-4A98-88B6-D086C11F650A}" name="Pago" dataDxfId="16"/>
    <tableColumn id="4" xr3:uid="{84E19D87-7443-46E4-BD17-23DB1172BDF6}" name="pago completo ou metade?" dataDxfId="15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Lista de itens e valores das despesas mensai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C43A50-34F6-4805-BC0B-AF8B9CC97EE4}" name="Despesa4" displayName="Despesa4" ref="B18:E22" headerRowDxfId="14">
  <autoFilter ref="B18:E22" xr:uid="{CCC43A50-34F6-4805-BC0B-AF8B9CC97EE4}"/>
  <tableColumns count="4">
    <tableColumn id="1" xr3:uid="{58A3E93D-5AD9-4097-B375-5CD845F5D108}" name="Item" totalsRowLabel="Total" dataCellStyle="Tabela Itens"/>
    <tableColumn id="2" xr3:uid="{C424E3C9-94C5-4657-B0AE-56F9C93D5ECD}" name="Valor" totalsRowFunction="sum" dataCellStyle="Tabela Valores"/>
    <tableColumn id="3" xr3:uid="{49ECB18F-46DC-434D-9965-8D7A5B4232AE}" name="Pago" dataDxfId="13"/>
    <tableColumn id="4" xr3:uid="{E99DC162-37AC-4F68-8355-ADA786543497}" name="Por que necessidade?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Lista de itens e valores das despesas mensais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023ECE-1B3C-4950-89A6-79F3BB29A3DA}" name="Despesa45" displayName="Despesa45" ref="B24:E34" headerRowDxfId="12">
  <autoFilter ref="B24:E34" xr:uid="{2F023ECE-1B3C-4950-89A6-79F3BB29A3DA}"/>
  <tableColumns count="4">
    <tableColumn id="1" xr3:uid="{CCB5B246-D026-4F6D-AF51-39CF59BDF656}" name="Item" totalsRowLabel="Total" dataCellStyle="Tabela Itens"/>
    <tableColumn id="2" xr3:uid="{11D74E8E-CFA2-4588-B893-5DED1D8D95C2}" name="Valor" totalsRowFunction="sum" dataCellStyle="Tabela Valores"/>
    <tableColumn id="3" xr3:uid="{B2E7E665-0A9D-4611-8DCC-65F35A7857CF}" name="Pago" dataDxfId="11"/>
    <tableColumn id="4" xr3:uid="{C95991F9-7BC1-45E9-B5F8-D2C644E3DABF}" name="Por que quer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Lista de itens e valores das despesas mensais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C1036F-4CC0-4982-B2D2-3182AA124AD9}" name="Despesa7" displayName="Despesa7" ref="K3:N6" headerRowDxfId="10">
  <autoFilter ref="K3:N6" xr:uid="{54C1036F-4CC0-4982-B2D2-3182AA124AD9}"/>
  <tableColumns count="4">
    <tableColumn id="1" xr3:uid="{A8BC2F40-392A-4B58-AB0B-FA683879D3D8}" name="Item" totalsRowLabel="Total" dataCellStyle="Tabela Itens"/>
    <tableColumn id="2" xr3:uid="{66D04FFE-E2E4-4375-8AD5-9444F06002C4}" name="Valor" totalsRowFunction="sum" dataCellStyle="Tabela Valores"/>
    <tableColumn id="3" xr3:uid="{BF6CC88D-6E71-4CB5-B791-4D6740932726}" name="Pago" dataDxfId="9"/>
    <tableColumn id="4" xr3:uid="{0F78FFFD-5C3E-4DA0-86D8-B8E47CA60BA5}" name="pago completo ou metade?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Lista de itens e valores das despesas mensais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Simple Budget">
      <a:majorFont>
        <a:latin typeface="Georgia"/>
        <a:ea typeface=""/>
        <a:cs typeface=""/>
      </a:majorFont>
      <a:minorFont>
        <a:latin typeface="Century Gothic"/>
        <a:ea typeface=""/>
        <a:cs typeface="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0.499984740745262"/>
    <pageSetUpPr autoPageBreaks="0" fitToPage="1"/>
  </sheetPr>
  <dimension ref="B1:E7"/>
  <sheetViews>
    <sheetView showGridLines="0" topLeftCell="A3" zoomScaleNormal="100" workbookViewId="0">
      <selection activeCell="E7" sqref="E4:E7"/>
    </sheetView>
  </sheetViews>
  <sheetFormatPr defaultRowHeight="21" customHeight="1" x14ac:dyDescent="0.3"/>
  <cols>
    <col min="1" max="1" width="2.625" customWidth="1"/>
    <col min="2" max="2" width="25.5" customWidth="1"/>
    <col min="3" max="3" width="26.375" customWidth="1"/>
    <col min="4" max="5" width="12.625" customWidth="1"/>
    <col min="6" max="6" width="2.625" customWidth="1"/>
  </cols>
  <sheetData>
    <row r="1" spans="2:5" ht="45" customHeight="1" x14ac:dyDescent="0.4">
      <c r="B1" s="6" t="s">
        <v>0</v>
      </c>
    </row>
    <row r="2" spans="2:5" ht="30" customHeight="1" thickBot="1" x14ac:dyDescent="0.3">
      <c r="B2" s="2" t="s">
        <v>1</v>
      </c>
    </row>
    <row r="3" spans="2:5" ht="42" customHeight="1" thickTop="1" thickBot="1" x14ac:dyDescent="0.35">
      <c r="B3" s="33">
        <f>DespesasMensaisTotais</f>
        <v>2895.6</v>
      </c>
      <c r="C3" s="34"/>
      <c r="D3" s="35"/>
      <c r="E3" s="4">
        <f>DespesasMensaisTotais/RendaMensalTotal</f>
        <v>0.93406451612903219</v>
      </c>
    </row>
    <row r="4" spans="2:5" ht="39.950000000000003" customHeight="1" x14ac:dyDescent="0.3">
      <c r="B4" s="2" t="s">
        <v>2</v>
      </c>
      <c r="C4" s="1"/>
      <c r="D4" s="1"/>
    </row>
    <row r="5" spans="2:5" ht="20.100000000000001" customHeight="1" x14ac:dyDescent="0.3">
      <c r="B5" s="5" t="s">
        <v>3</v>
      </c>
      <c r="C5" s="5" t="s">
        <v>4</v>
      </c>
      <c r="D5" s="5" t="s">
        <v>5</v>
      </c>
    </row>
    <row r="6" spans="2:5" ht="21" customHeight="1" x14ac:dyDescent="0.3">
      <c r="B6" s="9">
        <f>RendaMensalTotal</f>
        <v>3100</v>
      </c>
      <c r="C6" s="9">
        <f>DespesasMensaisTotais</f>
        <v>2895.6</v>
      </c>
      <c r="D6" s="9">
        <f>RendaMensalTotal-DespesasMensaisTotais</f>
        <v>204.40000000000009</v>
      </c>
    </row>
    <row r="7" spans="2:5" ht="321.75" customHeight="1" x14ac:dyDescent="0.3">
      <c r="B7" s="10"/>
      <c r="C7" s="11"/>
      <c r="D7" s="11"/>
      <c r="E7" s="11"/>
    </row>
  </sheetData>
  <mergeCells count="1">
    <mergeCell ref="B3:D3"/>
  </mergeCells>
  <conditionalFormatting sqref="B3">
    <cfRule type="dataBar" priority="1">
      <dataBar showValue="0">
        <cfvo type="num" val="0"/>
        <cfvo type="num" val="RendaMensalTotal"/>
        <color theme="4" tint="-0.499984740745262"/>
      </dataBar>
      <extLst>
        <ext xmlns:x14="http://schemas.microsoft.com/office/spreadsheetml/2009/9/main" uri="{B025F937-C7B1-47D3-B67F-A62EFF666E3E}">
          <x14:id>{24C4A4E8-E0A5-44E6-A920-4BA8985B0684}</x14:id>
        </ext>
      </extLst>
    </cfRule>
  </conditionalFormatting>
  <dataValidations count="8">
    <dataValidation allowBlank="1" showInputMessage="1" showErrorMessage="1" prompt="O valor &quot;Porcentagem da renda gasta&quot; é calculado automaticamente nesta célula e determina o aspecto de sombreamento da barra nas colunas de B a D à esquerda" sqref="E3" xr:uid="{00000000-0002-0000-0000-000000000000}"/>
    <dataValidation allowBlank="1" showInputMessage="1" showErrorMessage="1" prompt="Esta entrada é atualizada automaticamente a partir das entradas na planilha Renda mensal" sqref="B5" xr:uid="{00000000-0002-0000-0000-000001000000}"/>
    <dataValidation allowBlank="1" showInputMessage="1" showErrorMessage="1" prompt="Esta entrada é atualizada automaticamente a partir das entradas na planilha Despesas mensais" sqref="C5" xr:uid="{00000000-0002-0000-0000-000002000000}"/>
    <dataValidation allowBlank="1" showInputMessage="1" showErrorMessage="1" prompt="Esta entrada é calculada automaticamente com base nas entradas Total da renda mensal e Total de despesas mensais nesta tabela" sqref="D5" xr:uid="{00000000-0002-0000-0000-000003000000}"/>
    <dataValidation allowBlank="1" showInputMessage="1" showErrorMessage="1" prompt="Esta pasta de trabalho contém três planilhas: esta planilha de resumo com % da renda gasta, total da renda, total de despesas e um gráfico de comparação, uma planilha de renda mensal e uma planilha de despesas mensais " sqref="A1" xr:uid="{00000000-0002-0000-0000-000004000000}"/>
    <dataValidation allowBlank="1" showInputMessage="1" showErrorMessage="1" prompt="A porcentagem da renda gasta é calculada automaticamente como resultado do valor em E3. Esse valor é então representado como um gráfico de barras horizontais das colunas B a D" sqref="B3:D3" xr:uid="{00000000-0002-0000-0000-000005000000}"/>
    <dataValidation allowBlank="1" showInputMessage="1" showErrorMessage="1" prompt="Um gráfico que ilustra uma comparação do Total de despesas mensais, na coluna B6 da tabela Resumo, e do Total da renda mensal, na coluna C6 da tabela Resumo " sqref="B7" xr:uid="{00000000-0002-0000-0000-000006000000}"/>
    <dataValidation allowBlank="1" showInputMessage="1" showErrorMessage="1" prompt="Digite um título para esta planilha. Esse título atualizará B1 automaticamente nas planilhas de renda mensal e despesas mensais" sqref="B1" xr:uid="{00000000-0002-0000-0000-000007000000}"/>
  </dataValidations>
  <printOptions horizontalCentered="1"/>
  <pageMargins left="0.7" right="0.7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C4A4E8-E0A5-44E6-A920-4BA8985B0684}">
            <x14:dataBar minLength="0" maxLength="100" gradient="0">
              <x14:cfvo type="num">
                <xm:f>0</xm:f>
              </x14:cfvo>
              <x14:cfvo type="num">
                <xm:f>RendaMensalTotal</xm:f>
              </x14:cfvo>
              <x14:negativeFillColor rgb="FFFF0000"/>
              <x14:axisColor rgb="FF000000"/>
            </x14:dataBar>
          </x14:cfRule>
          <xm:sqref>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autoPageBreaks="0" fitToPage="1"/>
  </sheetPr>
  <dimension ref="B1:D6"/>
  <sheetViews>
    <sheetView showGridLines="0" zoomScaleNormal="100" workbookViewId="0">
      <selection activeCell="B5" sqref="B5"/>
    </sheetView>
  </sheetViews>
  <sheetFormatPr defaultRowHeight="30" customHeight="1" x14ac:dyDescent="0.3"/>
  <cols>
    <col min="1" max="1" width="2.625" customWidth="1"/>
    <col min="2" max="2" width="26.75" customWidth="1"/>
    <col min="3" max="3" width="14.375" customWidth="1"/>
    <col min="4" max="4" width="10.25" customWidth="1"/>
    <col min="5" max="5" width="2.625" customWidth="1"/>
  </cols>
  <sheetData>
    <row r="1" spans="2:4" ht="45" customHeight="1" x14ac:dyDescent="0.4">
      <c r="B1" s="6" t="str">
        <f>TítuloOrçamento</f>
        <v>ORÇAMENTO MENSAL SIMPLES</v>
      </c>
    </row>
    <row r="2" spans="2:4" ht="30" customHeight="1" thickBot="1" x14ac:dyDescent="0.35">
      <c r="B2" s="2" t="s">
        <v>6</v>
      </c>
      <c r="C2" s="1"/>
    </row>
    <row r="3" spans="2:4" ht="20.100000000000001" customHeight="1" thickBot="1" x14ac:dyDescent="0.35">
      <c r="B3" s="7" t="s">
        <v>7</v>
      </c>
      <c r="C3" s="8" t="s">
        <v>8</v>
      </c>
      <c r="D3" s="13"/>
    </row>
    <row r="4" spans="2:4" ht="30" customHeight="1" x14ac:dyDescent="0.3">
      <c r="B4" s="3" t="s">
        <v>9</v>
      </c>
      <c r="C4" s="12">
        <v>3100</v>
      </c>
    </row>
    <row r="5" spans="2:4" ht="30" customHeight="1" x14ac:dyDescent="0.3">
      <c r="B5" s="3" t="s">
        <v>10</v>
      </c>
      <c r="C5" s="12"/>
    </row>
    <row r="6" spans="2:4" ht="30" customHeight="1" x14ac:dyDescent="0.3">
      <c r="B6" s="3" t="s">
        <v>10</v>
      </c>
      <c r="C6" s="12">
        <v>0</v>
      </c>
    </row>
  </sheetData>
  <dataValidations count="4">
    <dataValidation allowBlank="1" showInputMessage="1" showErrorMessage="1" prompt="Insira os itens e valores da Renda mensal nesta planilha" sqref="A1" xr:uid="{00000000-0002-0000-0100-000000000000}"/>
    <dataValidation allowBlank="1" showInputMessage="1" showErrorMessage="1" prompt="Insira a fonte de cada renda nesta coluna" sqref="B3" xr:uid="{00000000-0002-0000-0100-000001000000}"/>
    <dataValidation allowBlank="1" showInputMessage="1" showErrorMessage="1" prompt="Insira os valores de renda de cada fonte nesta coluna" sqref="C3" xr:uid="{00000000-0002-0000-0100-000002000000}"/>
    <dataValidation allowBlank="1" showInputMessage="1" showErrorMessage="1" prompt="O Título é atualizado automaticamente com base no conteúdo de B1 na planilha Resumo" sqref="B1" xr:uid="{00000000-0002-0000-0100-000003000000}"/>
  </dataValidations>
  <printOptions horizontalCentered="1"/>
  <pageMargins left="0.7" right="0.7" top="0.75" bottom="0.75" header="0.3" footer="0.3"/>
  <pageSetup paperSize="9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autoPageBreaks="0" fitToPage="1"/>
  </sheetPr>
  <dimension ref="B1:O34"/>
  <sheetViews>
    <sheetView showGridLines="0" tabSelected="1" topLeftCell="A3" zoomScale="85" zoomScaleNormal="85" workbookViewId="0">
      <selection activeCell="C15" sqref="C15"/>
    </sheetView>
  </sheetViews>
  <sheetFormatPr defaultRowHeight="30" customHeight="1" x14ac:dyDescent="0.3"/>
  <cols>
    <col min="1" max="1" width="2.625" customWidth="1"/>
    <col min="2" max="2" width="26.75" customWidth="1"/>
    <col min="3" max="3" width="14.375" customWidth="1"/>
    <col min="4" max="4" width="8.75" customWidth="1"/>
    <col min="5" max="5" width="23.25" customWidth="1"/>
    <col min="6" max="9" width="3.5" customWidth="1"/>
    <col min="10" max="10" width="3.25" customWidth="1"/>
    <col min="11" max="11" width="26.75" customWidth="1"/>
    <col min="12" max="12" width="14.375" customWidth="1"/>
    <col min="13" max="13" width="5.625" customWidth="1"/>
    <col min="14" max="14" width="25.5" customWidth="1"/>
    <col min="15" max="15" width="13" customWidth="1"/>
    <col min="16" max="36" width="3.25" customWidth="1"/>
  </cols>
  <sheetData>
    <row r="1" spans="2:15" ht="45" customHeight="1" x14ac:dyDescent="0.4">
      <c r="B1" s="6" t="str">
        <f>TítuloOrçamento</f>
        <v>ORÇAMENTO MENSAL SIMPLES</v>
      </c>
      <c r="K1" s="6" t="s">
        <v>11</v>
      </c>
    </row>
    <row r="2" spans="2:15" ht="30" customHeight="1" thickBot="1" x14ac:dyDescent="0.35">
      <c r="B2" s="2" t="s">
        <v>12</v>
      </c>
      <c r="C2" s="1"/>
      <c r="K2" s="2" t="s">
        <v>12</v>
      </c>
      <c r="L2" s="1"/>
    </row>
    <row r="3" spans="2:15" ht="32.25" customHeight="1" thickBot="1" x14ac:dyDescent="0.35">
      <c r="B3" s="7" t="s">
        <v>7</v>
      </c>
      <c r="C3" s="19" t="s">
        <v>8</v>
      </c>
      <c r="D3" s="13" t="s">
        <v>13</v>
      </c>
      <c r="E3" s="13" t="s">
        <v>14</v>
      </c>
      <c r="F3" s="13"/>
      <c r="K3" s="7" t="s">
        <v>7</v>
      </c>
      <c r="L3" s="8" t="s">
        <v>8</v>
      </c>
      <c r="M3" s="13" t="s">
        <v>13</v>
      </c>
      <c r="N3" s="13" t="s">
        <v>14</v>
      </c>
    </row>
    <row r="4" spans="2:15" ht="30" customHeight="1" x14ac:dyDescent="0.3">
      <c r="B4" s="3" t="s">
        <v>15</v>
      </c>
      <c r="C4" s="12">
        <v>130</v>
      </c>
      <c r="D4" s="21"/>
      <c r="E4" s="22"/>
      <c r="K4" s="3"/>
      <c r="L4" s="12"/>
      <c r="M4" s="23"/>
    </row>
    <row r="5" spans="2:15" ht="44.25" customHeight="1" x14ac:dyDescent="0.3">
      <c r="B5" s="3" t="s">
        <v>16</v>
      </c>
      <c r="C5" s="12">
        <v>150</v>
      </c>
      <c r="D5" s="21"/>
      <c r="E5" s="25"/>
      <c r="K5" s="3"/>
      <c r="L5" s="12"/>
      <c r="M5" s="21"/>
      <c r="N5" s="22"/>
    </row>
    <row r="6" spans="2:15" ht="30" customHeight="1" x14ac:dyDescent="0.3">
      <c r="B6" s="3" t="s">
        <v>17</v>
      </c>
      <c r="C6" s="12">
        <v>40</v>
      </c>
      <c r="D6" s="21"/>
      <c r="E6" s="25"/>
      <c r="K6" s="3"/>
      <c r="L6" s="12"/>
      <c r="M6" s="23"/>
    </row>
    <row r="7" spans="2:15" ht="30" customHeight="1" x14ac:dyDescent="0.3">
      <c r="B7" s="16" t="s">
        <v>18</v>
      </c>
      <c r="C7" s="20">
        <v>40</v>
      </c>
      <c r="D7" s="21"/>
      <c r="E7" s="25"/>
      <c r="K7" s="3" t="s">
        <v>19</v>
      </c>
      <c r="L7" s="12">
        <f>SUM(Despesa7[Valor])</f>
        <v>0</v>
      </c>
      <c r="M7" s="18"/>
      <c r="O7" s="17"/>
    </row>
    <row r="8" spans="2:15" ht="30" customHeight="1" x14ac:dyDescent="0.3">
      <c r="B8" s="3" t="s">
        <v>20</v>
      </c>
      <c r="C8" s="12">
        <v>380</v>
      </c>
      <c r="D8" s="21"/>
      <c r="E8" s="22"/>
      <c r="M8" s="18"/>
    </row>
    <row r="9" spans="2:15" ht="30" customHeight="1" x14ac:dyDescent="0.3">
      <c r="B9" s="3" t="s">
        <v>21</v>
      </c>
      <c r="C9" s="12">
        <v>150</v>
      </c>
      <c r="D9" s="21"/>
      <c r="E9" s="25"/>
      <c r="K9" s="16"/>
      <c r="L9" s="20"/>
      <c r="M9" s="18"/>
    </row>
    <row r="10" spans="2:15" ht="30" customHeight="1" x14ac:dyDescent="0.3">
      <c r="B10" s="3" t="s">
        <v>22</v>
      </c>
      <c r="C10" s="12">
        <v>780.3</v>
      </c>
      <c r="D10" s="21"/>
      <c r="E10" s="22"/>
      <c r="M10" s="18"/>
    </row>
    <row r="11" spans="2:15" ht="30" customHeight="1" x14ac:dyDescent="0.3">
      <c r="B11" s="3" t="s">
        <v>58</v>
      </c>
      <c r="C11" s="12">
        <v>270</v>
      </c>
      <c r="D11" s="21"/>
      <c r="E11" s="24"/>
      <c r="M11" s="23"/>
    </row>
    <row r="12" spans="2:15" ht="30" customHeight="1" x14ac:dyDescent="0.3">
      <c r="B12" s="16" t="s">
        <v>67</v>
      </c>
      <c r="C12" s="12">
        <v>780.3</v>
      </c>
      <c r="D12" s="21"/>
      <c r="E12" s="22"/>
      <c r="K12" s="3"/>
      <c r="L12" s="12"/>
      <c r="M12" s="23"/>
    </row>
    <row r="13" spans="2:15" ht="30" customHeight="1" x14ac:dyDescent="0.3">
      <c r="B13" s="16" t="s">
        <v>68</v>
      </c>
      <c r="C13" s="12">
        <v>125</v>
      </c>
      <c r="D13" s="21"/>
      <c r="E13" s="22"/>
      <c r="K13" s="3"/>
      <c r="L13" s="12"/>
      <c r="M13" s="23"/>
    </row>
    <row r="14" spans="2:15" ht="30" customHeight="1" x14ac:dyDescent="0.3">
      <c r="B14" s="45" t="s">
        <v>69</v>
      </c>
      <c r="C14" s="44">
        <v>50</v>
      </c>
      <c r="D14" s="21"/>
      <c r="E14" s="22"/>
      <c r="K14" s="3"/>
      <c r="L14" s="12"/>
      <c r="M14" s="23"/>
    </row>
    <row r="15" spans="2:15" ht="30" customHeight="1" x14ac:dyDescent="0.3">
      <c r="B15" s="43"/>
      <c r="C15" s="44"/>
      <c r="D15" s="28"/>
      <c r="E15" s="22"/>
      <c r="K15" s="3"/>
      <c r="L15" s="12"/>
      <c r="M15" s="23"/>
    </row>
    <row r="16" spans="2:15" ht="30" customHeight="1" x14ac:dyDescent="0.3">
      <c r="B16" s="3" t="s">
        <v>19</v>
      </c>
      <c r="C16" s="12">
        <f>SUM(Despesa[[#All],[Valor]])</f>
        <v>2895.6</v>
      </c>
      <c r="D16" s="23"/>
      <c r="K16" s="3"/>
      <c r="L16" s="12"/>
      <c r="M16" s="23"/>
    </row>
    <row r="17" spans="2:5" ht="30" customHeight="1" thickBot="1" x14ac:dyDescent="0.35">
      <c r="B17" s="2" t="s">
        <v>23</v>
      </c>
      <c r="C17" s="1"/>
    </row>
    <row r="18" spans="2:5" ht="30" customHeight="1" thickBot="1" x14ac:dyDescent="0.35">
      <c r="B18" s="7" t="s">
        <v>7</v>
      </c>
      <c r="C18" s="8" t="s">
        <v>8</v>
      </c>
      <c r="D18" s="13" t="s">
        <v>13</v>
      </c>
      <c r="E18" s="13" t="s">
        <v>24</v>
      </c>
    </row>
    <row r="19" spans="2:5" ht="30" customHeight="1" x14ac:dyDescent="0.3">
      <c r="B19" s="29" t="s">
        <v>25</v>
      </c>
      <c r="C19" s="30">
        <v>350</v>
      </c>
      <c r="D19" s="26"/>
      <c r="E19" s="31" t="s">
        <v>26</v>
      </c>
    </row>
    <row r="20" spans="2:5" ht="30" customHeight="1" x14ac:dyDescent="0.3">
      <c r="B20" t="s">
        <v>63</v>
      </c>
      <c r="C20" s="12">
        <v>100</v>
      </c>
      <c r="E20" t="s">
        <v>65</v>
      </c>
    </row>
    <row r="21" spans="2:5" ht="30" customHeight="1" x14ac:dyDescent="0.3">
      <c r="B21" s="3" t="s">
        <v>66</v>
      </c>
      <c r="C21" s="12">
        <v>100</v>
      </c>
      <c r="D21" s="23"/>
      <c r="E21" t="s">
        <v>65</v>
      </c>
    </row>
    <row r="22" spans="2:5" ht="30" customHeight="1" x14ac:dyDescent="0.3">
      <c r="B22" s="3" t="s">
        <v>64</v>
      </c>
      <c r="C22" s="12">
        <v>50</v>
      </c>
      <c r="D22" s="27"/>
      <c r="E22" t="s">
        <v>65</v>
      </c>
    </row>
    <row r="23" spans="2:5" ht="30" customHeight="1" thickBot="1" x14ac:dyDescent="0.35">
      <c r="B23" s="2" t="s">
        <v>27</v>
      </c>
      <c r="C23" s="1"/>
    </row>
    <row r="24" spans="2:5" ht="30" customHeight="1" thickBot="1" x14ac:dyDescent="0.35">
      <c r="B24" s="7" t="s">
        <v>7</v>
      </c>
      <c r="C24" s="8" t="s">
        <v>8</v>
      </c>
      <c r="D24" s="13" t="s">
        <v>13</v>
      </c>
      <c r="E24" s="13" t="s">
        <v>28</v>
      </c>
    </row>
    <row r="25" spans="2:5" ht="30" customHeight="1" x14ac:dyDescent="0.3">
      <c r="B25" s="16" t="s">
        <v>29</v>
      </c>
      <c r="C25" s="12">
        <v>900</v>
      </c>
      <c r="D25" s="23"/>
      <c r="E25" t="s">
        <v>30</v>
      </c>
    </row>
    <row r="26" spans="2:5" ht="30" customHeight="1" x14ac:dyDescent="0.3">
      <c r="B26" s="16" t="s">
        <v>31</v>
      </c>
      <c r="C26" s="12">
        <v>200</v>
      </c>
      <c r="D26" s="23"/>
      <c r="E26" t="s">
        <v>32</v>
      </c>
    </row>
    <row r="27" spans="2:5" ht="30" customHeight="1" x14ac:dyDescent="0.3">
      <c r="B27" s="16" t="s">
        <v>33</v>
      </c>
      <c r="C27" s="12">
        <v>2100</v>
      </c>
      <c r="D27" s="23"/>
      <c r="E27" t="s">
        <v>34</v>
      </c>
    </row>
    <row r="28" spans="2:5" ht="30" customHeight="1" x14ac:dyDescent="0.3">
      <c r="B28" s="29" t="s">
        <v>35</v>
      </c>
      <c r="C28" s="30">
        <v>600</v>
      </c>
      <c r="D28" s="26"/>
      <c r="E28" s="31" t="s">
        <v>36</v>
      </c>
    </row>
    <row r="29" spans="2:5" ht="30" customHeight="1" x14ac:dyDescent="0.3">
      <c r="B29" s="16" t="s">
        <v>37</v>
      </c>
      <c r="C29" s="12">
        <v>350</v>
      </c>
      <c r="D29" s="23"/>
      <c r="E29" t="s">
        <v>38</v>
      </c>
    </row>
    <row r="30" spans="2:5" ht="30" customHeight="1" x14ac:dyDescent="0.3">
      <c r="B30" s="32" t="s">
        <v>39</v>
      </c>
      <c r="C30" s="30">
        <v>35</v>
      </c>
      <c r="D30" s="26"/>
      <c r="E30" s="31" t="s">
        <v>40</v>
      </c>
    </row>
    <row r="31" spans="2:5" ht="30" customHeight="1" x14ac:dyDescent="0.3">
      <c r="B31" s="3" t="s">
        <v>59</v>
      </c>
      <c r="C31" s="12">
        <v>200</v>
      </c>
      <c r="D31" s="23"/>
      <c r="E31" t="s">
        <v>60</v>
      </c>
    </row>
    <row r="32" spans="2:5" ht="30" customHeight="1" x14ac:dyDescent="0.3">
      <c r="B32" s="3" t="s">
        <v>61</v>
      </c>
      <c r="C32" s="12">
        <v>400</v>
      </c>
      <c r="D32" s="23"/>
      <c r="E32" t="s">
        <v>62</v>
      </c>
    </row>
    <row r="33" spans="2:4" ht="30" customHeight="1" x14ac:dyDescent="0.3">
      <c r="B33" s="3"/>
      <c r="C33" s="12"/>
      <c r="D33" s="23"/>
    </row>
    <row r="34" spans="2:4" ht="30" customHeight="1" x14ac:dyDescent="0.3">
      <c r="B34" s="3"/>
      <c r="C34" s="12"/>
      <c r="D34" s="23"/>
    </row>
  </sheetData>
  <phoneticPr fontId="25" type="noConversion"/>
  <dataValidations count="4">
    <dataValidation allowBlank="1" showInputMessage="1" showErrorMessage="1" prompt="Insira os itens e valores de Despesas mensais nesta planilha" sqref="A1" xr:uid="{00000000-0002-0000-0200-000000000000}"/>
    <dataValidation allowBlank="1" showInputMessage="1" showErrorMessage="1" prompt="Insira cada despesa nesta coluna" sqref="B3 B18 B24 K3" xr:uid="{00000000-0002-0000-0200-000001000000}"/>
    <dataValidation allowBlank="1" showInputMessage="1" showErrorMessage="1" prompt="Insira o valor de cada despesa nesta coluna" sqref="C3 C18 C24 L3" xr:uid="{00000000-0002-0000-0200-000002000000}"/>
    <dataValidation allowBlank="1" showInputMessage="1" showErrorMessage="1" prompt="O Título é atualizado automaticamente com base no conteúdo de B1 na planilha Resumo" sqref="B1 K1" xr:uid="{00000000-0002-0000-0200-000003000000}"/>
  </dataValidations>
  <printOptions horizontalCentered="1"/>
  <pageMargins left="0.25" right="0.25" top="0.75" bottom="0.75" header="0.3" footer="0.3"/>
  <pageSetup paperSize="9" scale="55" fitToWidth="0" orientation="landscape" r:id="rId1"/>
  <headerFooter differentFirst="1">
    <oddFooter>Page &amp;P of &amp;N</oddFooter>
  </headerFooter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CC94-BBDA-4A6D-9DAF-414A3BB7FE10}">
  <sheetPr>
    <tabColor rgb="FFFFFF00"/>
    <pageSetUpPr autoPageBreaks="0" fitToPage="1"/>
  </sheetPr>
  <dimension ref="C1:W20"/>
  <sheetViews>
    <sheetView showGridLines="0" topLeftCell="A6" zoomScale="85" zoomScaleNormal="85" workbookViewId="0">
      <selection activeCell="D21" sqref="D21"/>
    </sheetView>
  </sheetViews>
  <sheetFormatPr defaultColWidth="7" defaultRowHeight="30" customHeight="1" x14ac:dyDescent="0.3"/>
  <sheetData>
    <row r="1" spans="3:23" ht="30" customHeight="1" x14ac:dyDescent="0.3">
      <c r="C1" s="37" t="s">
        <v>41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3:23" ht="30" customHeight="1" x14ac:dyDescent="0.3">
      <c r="C2" s="39">
        <v>500</v>
      </c>
      <c r="D2" s="39"/>
      <c r="E2" s="39">
        <v>1000</v>
      </c>
      <c r="F2" s="39"/>
      <c r="G2" s="39">
        <v>1500</v>
      </c>
      <c r="H2" s="39"/>
      <c r="I2" s="39">
        <v>2000</v>
      </c>
      <c r="J2" s="39"/>
      <c r="K2" s="36">
        <v>2500</v>
      </c>
      <c r="L2" s="36"/>
      <c r="M2" s="36">
        <v>3000</v>
      </c>
      <c r="N2" s="36"/>
      <c r="O2" s="40" t="s">
        <v>42</v>
      </c>
      <c r="P2" s="40"/>
      <c r="Q2" s="40"/>
      <c r="R2" s="40"/>
      <c r="S2" s="40"/>
      <c r="T2" s="40"/>
      <c r="U2" s="40"/>
    </row>
    <row r="3" spans="3:23" ht="30" customHeight="1" x14ac:dyDescent="0.3">
      <c r="C3" s="36">
        <v>3500</v>
      </c>
      <c r="D3" s="36"/>
      <c r="E3" s="36">
        <v>4000</v>
      </c>
      <c r="F3" s="36"/>
      <c r="G3" s="36">
        <v>4500</v>
      </c>
      <c r="H3" s="36"/>
      <c r="I3" s="36">
        <v>5000</v>
      </c>
      <c r="J3" s="36"/>
      <c r="K3" s="36">
        <v>5500</v>
      </c>
      <c r="L3" s="36"/>
      <c r="M3" s="36">
        <v>6000</v>
      </c>
      <c r="N3" s="36"/>
      <c r="O3" s="40"/>
      <c r="P3" s="40"/>
      <c r="Q3" s="40"/>
      <c r="R3" s="40"/>
      <c r="S3" s="40"/>
      <c r="T3" s="40"/>
      <c r="U3" s="40"/>
    </row>
    <row r="4" spans="3:23" ht="30" customHeight="1" x14ac:dyDescent="0.3">
      <c r="C4" s="36">
        <v>6500</v>
      </c>
      <c r="D4" s="36"/>
      <c r="E4" s="36">
        <v>7000</v>
      </c>
      <c r="F4" s="36"/>
      <c r="G4" s="36">
        <v>7500</v>
      </c>
      <c r="H4" s="36"/>
      <c r="I4" s="36">
        <v>8000</v>
      </c>
      <c r="J4" s="36"/>
      <c r="K4" s="36">
        <v>8500</v>
      </c>
      <c r="L4" s="36"/>
      <c r="M4" s="36">
        <v>9000</v>
      </c>
      <c r="N4" s="36"/>
    </row>
    <row r="5" spans="3:23" ht="30" customHeight="1" x14ac:dyDescent="0.3">
      <c r="C5" s="36">
        <v>9500</v>
      </c>
      <c r="D5" s="36"/>
      <c r="E5" s="36">
        <v>10000</v>
      </c>
      <c r="F5" s="36"/>
      <c r="G5" s="36">
        <v>10500</v>
      </c>
      <c r="H5" s="36"/>
      <c r="I5" s="36">
        <v>11000</v>
      </c>
      <c r="J5" s="36"/>
      <c r="K5" s="41">
        <v>11500</v>
      </c>
      <c r="L5" s="41"/>
      <c r="M5" s="36">
        <v>12000</v>
      </c>
      <c r="N5" s="36"/>
    </row>
    <row r="6" spans="3:23" ht="30" customHeight="1" x14ac:dyDescent="0.3">
      <c r="C6" s="37" t="s">
        <v>43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3:23" ht="20.100000000000001" customHeight="1" x14ac:dyDescent="0.3">
      <c r="C7" s="14" t="s">
        <v>44</v>
      </c>
      <c r="D7" s="14" t="s">
        <v>45</v>
      </c>
      <c r="E7" s="14" t="s">
        <v>46</v>
      </c>
      <c r="F7" s="14" t="s">
        <v>47</v>
      </c>
      <c r="G7" s="14" t="s">
        <v>48</v>
      </c>
      <c r="H7" s="14" t="s">
        <v>49</v>
      </c>
      <c r="I7" s="14" t="s">
        <v>50</v>
      </c>
      <c r="J7" s="14" t="s">
        <v>51</v>
      </c>
      <c r="K7" s="14" t="s">
        <v>52</v>
      </c>
      <c r="L7" s="14">
        <v>10</v>
      </c>
      <c r="M7" s="14">
        <v>11</v>
      </c>
      <c r="N7" s="14">
        <v>12</v>
      </c>
      <c r="O7" s="38" t="s">
        <v>53</v>
      </c>
      <c r="P7" s="38"/>
      <c r="Q7" s="38"/>
      <c r="R7" s="38"/>
      <c r="S7" s="38"/>
      <c r="T7" s="38"/>
      <c r="U7" s="38"/>
      <c r="V7" s="38"/>
      <c r="W7" s="38"/>
    </row>
    <row r="8" spans="3:23" ht="30" customHeight="1" x14ac:dyDescent="0.3">
      <c r="C8" s="14">
        <v>13</v>
      </c>
      <c r="D8" s="15">
        <v>14</v>
      </c>
      <c r="E8" s="15">
        <v>15</v>
      </c>
      <c r="F8" s="15">
        <v>16</v>
      </c>
      <c r="G8" s="15">
        <v>17</v>
      </c>
      <c r="H8" s="15">
        <v>18</v>
      </c>
      <c r="I8" s="15">
        <v>19</v>
      </c>
      <c r="J8" s="15">
        <v>20</v>
      </c>
      <c r="K8" s="15">
        <v>21</v>
      </c>
      <c r="L8" s="15">
        <v>22</v>
      </c>
      <c r="M8" s="15">
        <v>23</v>
      </c>
      <c r="N8" s="15">
        <v>24</v>
      </c>
      <c r="O8" s="38"/>
      <c r="P8" s="38"/>
      <c r="Q8" s="38"/>
      <c r="R8" s="38"/>
      <c r="S8" s="38"/>
      <c r="T8" s="38"/>
      <c r="U8" s="38"/>
      <c r="V8" s="38"/>
      <c r="W8" s="38"/>
    </row>
    <row r="9" spans="3:23" ht="30" customHeight="1" x14ac:dyDescent="0.3">
      <c r="C9" s="15">
        <v>25</v>
      </c>
      <c r="D9" s="15">
        <v>26</v>
      </c>
      <c r="E9" s="15">
        <v>27</v>
      </c>
      <c r="F9" s="15">
        <v>28</v>
      </c>
      <c r="G9" s="15">
        <v>29</v>
      </c>
      <c r="H9" s="15">
        <v>30</v>
      </c>
      <c r="I9" s="15">
        <v>31</v>
      </c>
      <c r="J9" s="15">
        <v>32</v>
      </c>
      <c r="K9" s="15">
        <v>33</v>
      </c>
      <c r="L9" s="15">
        <v>34</v>
      </c>
      <c r="M9" s="15">
        <v>35</v>
      </c>
      <c r="N9" s="15">
        <v>36</v>
      </c>
    </row>
    <row r="10" spans="3:23" ht="30" customHeight="1" x14ac:dyDescent="0.3">
      <c r="C10" s="37" t="s">
        <v>54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3:23" ht="30" customHeight="1" x14ac:dyDescent="0.3">
      <c r="C11" s="36">
        <v>275</v>
      </c>
      <c r="D11" s="36"/>
      <c r="E11" s="36">
        <v>275</v>
      </c>
      <c r="F11" s="36"/>
      <c r="G11" s="36">
        <v>275</v>
      </c>
      <c r="H11" s="36"/>
      <c r="I11" s="36">
        <v>275</v>
      </c>
      <c r="J11" s="36"/>
      <c r="K11" s="36">
        <v>275</v>
      </c>
      <c r="L11" s="36"/>
      <c r="M11" s="36">
        <v>275</v>
      </c>
      <c r="N11" s="36"/>
    </row>
    <row r="12" spans="3:23" ht="30" customHeight="1" x14ac:dyDescent="0.3">
      <c r="C12" s="36">
        <v>275</v>
      </c>
      <c r="D12" s="36"/>
      <c r="E12" s="36">
        <v>275</v>
      </c>
      <c r="F12" s="36"/>
      <c r="G12" s="36">
        <v>275</v>
      </c>
      <c r="H12" s="36"/>
      <c r="I12" s="36">
        <v>275</v>
      </c>
      <c r="J12" s="36"/>
      <c r="K12" s="36">
        <v>275</v>
      </c>
      <c r="L12" s="36"/>
      <c r="M12" s="36">
        <v>275</v>
      </c>
      <c r="N12" s="36"/>
    </row>
    <row r="13" spans="3:23" ht="30" customHeight="1" x14ac:dyDescent="0.3">
      <c r="C13" s="37" t="s">
        <v>55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3:23" ht="30" customHeight="1" x14ac:dyDescent="0.3">
      <c r="C14" s="36">
        <v>125</v>
      </c>
      <c r="D14" s="36"/>
      <c r="E14" s="36">
        <v>125</v>
      </c>
      <c r="F14" s="36"/>
      <c r="G14" s="36">
        <v>125</v>
      </c>
      <c r="H14" s="36"/>
      <c r="I14" s="36">
        <v>125</v>
      </c>
      <c r="J14" s="36"/>
      <c r="K14" s="36">
        <v>125</v>
      </c>
      <c r="L14" s="36"/>
      <c r="M14" s="36">
        <v>125</v>
      </c>
      <c r="N14" s="36"/>
    </row>
    <row r="15" spans="3:23" ht="30" customHeight="1" x14ac:dyDescent="0.3">
      <c r="C15" s="36">
        <v>125</v>
      </c>
      <c r="D15" s="36"/>
      <c r="E15" s="36">
        <v>125</v>
      </c>
      <c r="F15" s="36"/>
      <c r="G15" s="36">
        <v>125</v>
      </c>
      <c r="H15" s="36"/>
      <c r="I15" s="36">
        <v>125</v>
      </c>
      <c r="J15" s="36"/>
      <c r="K15" s="36">
        <v>125</v>
      </c>
      <c r="L15" s="36"/>
      <c r="M15" s="36">
        <v>125</v>
      </c>
      <c r="N15" s="36"/>
    </row>
    <row r="16" spans="3:23" ht="30" customHeight="1" x14ac:dyDescent="0.3">
      <c r="C16" s="36">
        <v>125</v>
      </c>
      <c r="D16" s="36"/>
      <c r="E16" s="36">
        <v>125</v>
      </c>
      <c r="F16" s="36"/>
      <c r="G16" s="36">
        <v>125</v>
      </c>
      <c r="H16" s="36"/>
      <c r="I16" s="36">
        <v>125</v>
      </c>
      <c r="J16" s="36"/>
      <c r="K16" s="36">
        <v>125</v>
      </c>
      <c r="L16" s="36"/>
      <c r="M16" s="36">
        <v>125</v>
      </c>
      <c r="N16" s="36"/>
    </row>
    <row r="17" spans="3:22" ht="30" customHeight="1" x14ac:dyDescent="0.3">
      <c r="C17" s="36">
        <v>125</v>
      </c>
      <c r="D17" s="36"/>
      <c r="E17" s="36">
        <v>125</v>
      </c>
      <c r="F17" s="36"/>
      <c r="G17" s="36">
        <v>125</v>
      </c>
      <c r="H17" s="36"/>
      <c r="I17" s="36">
        <v>125</v>
      </c>
      <c r="J17" s="36"/>
      <c r="K17" s="36">
        <v>125</v>
      </c>
      <c r="L17" s="36"/>
      <c r="M17" s="36">
        <v>125</v>
      </c>
      <c r="N17" s="36"/>
    </row>
    <row r="18" spans="3:22" ht="30" customHeight="1" x14ac:dyDescent="0.3">
      <c r="C18" s="37" t="s">
        <v>56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3:22" ht="30" customHeight="1" x14ac:dyDescent="0.3">
      <c r="C19" s="39">
        <v>82</v>
      </c>
      <c r="D19" s="39"/>
      <c r="E19" s="39">
        <v>82</v>
      </c>
      <c r="F19" s="39"/>
      <c r="G19" s="39">
        <v>82</v>
      </c>
      <c r="H19" s="39"/>
      <c r="I19" s="39">
        <v>82</v>
      </c>
      <c r="J19" s="39"/>
      <c r="K19" s="39">
        <v>82</v>
      </c>
      <c r="L19" s="39"/>
      <c r="M19" s="39">
        <v>82</v>
      </c>
      <c r="N19" s="39"/>
      <c r="O19" s="37" t="s">
        <v>57</v>
      </c>
      <c r="P19" s="37"/>
      <c r="Q19" s="37"/>
      <c r="R19" s="37"/>
      <c r="S19" s="37"/>
      <c r="T19" s="37"/>
      <c r="U19" s="37"/>
      <c r="V19" s="37"/>
    </row>
    <row r="20" spans="3:22" ht="30" customHeight="1" x14ac:dyDescent="0.3">
      <c r="C20" s="39">
        <v>82</v>
      </c>
      <c r="D20" s="39"/>
      <c r="E20" s="39">
        <v>82</v>
      </c>
      <c r="F20" s="39"/>
      <c r="G20" s="39">
        <v>82</v>
      </c>
      <c r="H20" s="39"/>
      <c r="I20" s="42"/>
      <c r="J20" s="42"/>
      <c r="K20" s="42"/>
      <c r="L20" s="42"/>
      <c r="M20" s="42"/>
      <c r="N20" s="42"/>
    </row>
  </sheetData>
  <mergeCells count="80">
    <mergeCell ref="O19:V19"/>
    <mergeCell ref="C20:D20"/>
    <mergeCell ref="E20:F20"/>
    <mergeCell ref="G20:H20"/>
    <mergeCell ref="I20:J20"/>
    <mergeCell ref="K20:L20"/>
    <mergeCell ref="M20:N20"/>
    <mergeCell ref="C18:N18"/>
    <mergeCell ref="C19:D19"/>
    <mergeCell ref="E19:F19"/>
    <mergeCell ref="G19:H19"/>
    <mergeCell ref="I19:J19"/>
    <mergeCell ref="K19:L19"/>
    <mergeCell ref="M19:N19"/>
    <mergeCell ref="C10:N10"/>
    <mergeCell ref="C11:D11"/>
    <mergeCell ref="E11:F11"/>
    <mergeCell ref="G11:H11"/>
    <mergeCell ref="I11:J11"/>
    <mergeCell ref="K11:L11"/>
    <mergeCell ref="M11:N11"/>
    <mergeCell ref="M12:N12"/>
    <mergeCell ref="I14:J14"/>
    <mergeCell ref="K14:L14"/>
    <mergeCell ref="M14:N14"/>
    <mergeCell ref="C15:D15"/>
    <mergeCell ref="E15:F15"/>
    <mergeCell ref="G15:H15"/>
    <mergeCell ref="I15:J15"/>
    <mergeCell ref="K15:L15"/>
    <mergeCell ref="M15:N15"/>
    <mergeCell ref="C12:D12"/>
    <mergeCell ref="E12:F12"/>
    <mergeCell ref="G12:H12"/>
    <mergeCell ref="I12:J12"/>
    <mergeCell ref="K12:L12"/>
    <mergeCell ref="G17:H17"/>
    <mergeCell ref="I17:J17"/>
    <mergeCell ref="K17:L17"/>
    <mergeCell ref="M17:N17"/>
    <mergeCell ref="C13:N13"/>
    <mergeCell ref="C14:D14"/>
    <mergeCell ref="E14:F14"/>
    <mergeCell ref="G14:H14"/>
    <mergeCell ref="C16:D16"/>
    <mergeCell ref="E16:F16"/>
    <mergeCell ref="G16:H16"/>
    <mergeCell ref="I16:J16"/>
    <mergeCell ref="K16:L16"/>
    <mergeCell ref="M16:N16"/>
    <mergeCell ref="C17:D17"/>
    <mergeCell ref="E17:F17"/>
    <mergeCell ref="M5:N5"/>
    <mergeCell ref="C4:D4"/>
    <mergeCell ref="E4:F4"/>
    <mergeCell ref="G4:H4"/>
    <mergeCell ref="I4:J4"/>
    <mergeCell ref="K4:L4"/>
    <mergeCell ref="M4:N4"/>
    <mergeCell ref="C5:D5"/>
    <mergeCell ref="E5:F5"/>
    <mergeCell ref="G5:H5"/>
    <mergeCell ref="I5:J5"/>
    <mergeCell ref="K5:L5"/>
    <mergeCell ref="M3:N3"/>
    <mergeCell ref="C6:N6"/>
    <mergeCell ref="O7:W8"/>
    <mergeCell ref="C1:N1"/>
    <mergeCell ref="C2:D2"/>
    <mergeCell ref="E2:F2"/>
    <mergeCell ref="G2:H2"/>
    <mergeCell ref="I2:J2"/>
    <mergeCell ref="K2:L2"/>
    <mergeCell ref="M2:N2"/>
    <mergeCell ref="O2:U3"/>
    <mergeCell ref="C3:D3"/>
    <mergeCell ref="E3:F3"/>
    <mergeCell ref="G3:H3"/>
    <mergeCell ref="I3:J3"/>
    <mergeCell ref="K3:L3"/>
  </mergeCells>
  <phoneticPr fontId="25" type="noConversion"/>
  <printOptions horizontalCentered="1"/>
  <pageMargins left="0.25" right="0.25" top="0.75" bottom="0.75" header="0.3" footer="0.3"/>
  <pageSetup paperSize="9" scale="60" fitToWidth="0" orientation="landscape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08671E0F56146BAA78676221CACBE" ma:contentTypeVersion="9" ma:contentTypeDescription="Create a new document." ma:contentTypeScope="" ma:versionID="3e2e9a6cc41535c4a65f3c41b4c51b4c">
  <xsd:schema xmlns:xsd="http://www.w3.org/2001/XMLSchema" xmlns:xs="http://www.w3.org/2001/XMLSchema" xmlns:p="http://schemas.microsoft.com/office/2006/metadata/properties" xmlns:ns3="47243300-7364-431c-8df5-ce712d5798bb" targetNamespace="http://schemas.microsoft.com/office/2006/metadata/properties" ma:root="true" ma:fieldsID="9f31353c2f667e96eda2d177bd6d4105" ns3:_="">
    <xsd:import namespace="47243300-7364-431c-8df5-ce712d5798b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3300-7364-431c-8df5-ce712d5798b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243300-7364-431c-8df5-ce712d5798bb" xsi:nil="true"/>
  </documentManagement>
</p:properties>
</file>

<file path=customXml/itemProps1.xml><?xml version="1.0" encoding="utf-8"?>
<ds:datastoreItem xmlns:ds="http://schemas.openxmlformats.org/officeDocument/2006/customXml" ds:itemID="{DE7EE25B-4F65-439E-BDEC-4AE004F558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1384E-F464-44EF-86C5-82B297E402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3300-7364-431c-8df5-ce712d5798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A7BA77-F708-47A6-A284-BE3F152C09A9}">
  <ds:schemaRefs>
    <ds:schemaRef ds:uri="47243300-7364-431c-8df5-ce712d5798bb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TM03428920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Resumo</vt:lpstr>
      <vt:lpstr>Renda mensal</vt:lpstr>
      <vt:lpstr>Despesas mensais</vt:lpstr>
      <vt:lpstr>Objetivos</vt:lpstr>
      <vt:lpstr>'Despesas mensais'!Print_Titles</vt:lpstr>
      <vt:lpstr>Objetivos!Print_Titles</vt:lpstr>
      <vt:lpstr>'Renda mensal'!Print_Titles</vt:lpstr>
      <vt:lpstr>Objetivos!TítuloColuna1</vt:lpstr>
      <vt:lpstr>TítuloColuna1</vt:lpstr>
      <vt:lpstr>Objetivos!TítuloColuna2</vt:lpstr>
      <vt:lpstr>TítuloColuna2</vt:lpstr>
      <vt:lpstr>Objetivos!TítuloColuna3</vt:lpstr>
      <vt:lpstr>TítuloColuna3</vt:lpstr>
      <vt:lpstr>TítuloOrçamento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2022-11-06T06:46:11Z</dcterms:created>
  <dcterms:modified xsi:type="dcterms:W3CDTF">2026-07-14T16:58:51Z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0x010100AA908671E0F56146BAA78676221CACBE</vt:lpwstr>
  </property>
</Properties>
</file>